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ach UC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Ngoai pham vi" sheetId="3" state="visible" r:id="rId3"/>
    <sheet xmlns:r="http://schemas.openxmlformats.org/officeDocument/2006/relationships" name="Chi tiet bao ca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</font>
    <font>
      <name val="Arial"/>
      <b val="1"/>
      <color rgb="00FFFFFF"/>
    </font>
    <font>
      <name val="Arial"/>
      <b val="1"/>
    </font>
    <font>
      <name val="Arial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46" customWidth="1" min="3" max="3"/>
    <col width="40" customWidth="1" min="4" max="4"/>
    <col width="7" customWidth="1" min="5" max="5"/>
    <col width="22" customWidth="1" min="6" max="6"/>
  </cols>
  <sheetData>
    <row r="1">
      <c r="A1" s="1" t="inlineStr">
        <is>
          <t>SFEMS – Danh sách use case phạm vi đồ án (sau góp ý hội đồng lần 1)</t>
        </is>
      </c>
    </row>
    <row r="2">
      <c r="A2" s="2" t="inlineStr">
        <is>
          <t>Mức: S = Simple, M = Medium, C = Complex (nhóm tự ước lượng, cần GVHD xác nhận). Mã mới theo Báo cáo 3 bản sửa; cột "Mã cũ" là mã ở bản nộp hội đồng lần 1.</t>
        </is>
      </c>
    </row>
    <row r="4">
      <c r="A4" s="3" t="inlineStr">
        <is>
          <t>STT</t>
        </is>
      </c>
      <c r="B4" s="3" t="inlineStr">
        <is>
          <t>Mã UC</t>
        </is>
      </c>
      <c r="C4" s="3" t="inlineStr">
        <is>
          <t>Tên use case</t>
        </is>
      </c>
      <c r="D4" s="3" t="inlineStr">
        <is>
          <t>Tác nhân</t>
        </is>
      </c>
      <c r="E4" s="3" t="inlineStr">
        <is>
          <t>Mức</t>
        </is>
      </c>
      <c r="F4" s="3" t="inlineStr">
        <is>
          <t>Mã cũ (bản nộp lần 1)</t>
        </is>
      </c>
    </row>
    <row r="5">
      <c r="A5" s="4" t="inlineStr">
        <is>
          <t>Hệ thống, tài khoản và phân quyền (HT)</t>
        </is>
      </c>
      <c r="B5" s="10" t="n"/>
      <c r="C5" s="10" t="n"/>
      <c r="D5" s="10" t="n"/>
      <c r="E5" s="10" t="n"/>
      <c r="F5" s="11" t="n"/>
    </row>
    <row r="6">
      <c r="A6" s="6" t="n">
        <v>1</v>
      </c>
      <c r="B6" s="6" t="inlineStr">
        <is>
          <t>HT-01</t>
        </is>
      </c>
      <c r="C6" s="7" t="inlineStr">
        <is>
          <t>Đăng nhập</t>
        </is>
      </c>
      <c r="D6" s="7" t="inlineStr">
        <is>
          <t>Cả năm tác nhân</t>
        </is>
      </c>
      <c r="E6" s="6" t="inlineStr">
        <is>
          <t>S</t>
        </is>
      </c>
      <c r="F6" s="7" t="inlineStr">
        <is>
          <t>HT-01</t>
        </is>
      </c>
    </row>
    <row r="7">
      <c r="A7" s="6" t="n">
        <v>2</v>
      </c>
      <c r="B7" s="6" t="inlineStr">
        <is>
          <t>HT-02</t>
        </is>
      </c>
      <c r="C7" s="7" t="inlineStr">
        <is>
          <t>Đăng xuất</t>
        </is>
      </c>
      <c r="D7" s="7" t="inlineStr">
        <is>
          <t>Cả năm tác nhân</t>
        </is>
      </c>
      <c r="E7" s="6" t="inlineStr">
        <is>
          <t>S</t>
        </is>
      </c>
      <c r="F7" s="7" t="inlineStr">
        <is>
          <t>HT-02</t>
        </is>
      </c>
    </row>
    <row r="8">
      <c r="A8" s="6" t="n">
        <v>3</v>
      </c>
      <c r="B8" s="6" t="inlineStr">
        <is>
          <t>HT-03</t>
        </is>
      </c>
      <c r="C8" s="7" t="inlineStr">
        <is>
          <t>Đổi mật khẩu cá nhân</t>
        </is>
      </c>
      <c r="D8" s="7" t="inlineStr">
        <is>
          <t>Cả năm tác nhân</t>
        </is>
      </c>
      <c r="E8" s="6" t="inlineStr">
        <is>
          <t>S</t>
        </is>
      </c>
      <c r="F8" s="7" t="inlineStr">
        <is>
          <t>HT-03</t>
        </is>
      </c>
    </row>
    <row r="9">
      <c r="A9" s="6" t="n">
        <v>4</v>
      </c>
      <c r="B9" s="6" t="inlineStr">
        <is>
          <t>HT-04</t>
        </is>
      </c>
      <c r="C9" s="7" t="inlineStr">
        <is>
          <t>Quản lý tài khoản người dùng</t>
        </is>
      </c>
      <c r="D9" s="7" t="inlineStr">
        <is>
          <t>Quản trị viên hệ thống</t>
        </is>
      </c>
      <c r="E9" s="6" t="inlineStr">
        <is>
          <t>M</t>
        </is>
      </c>
      <c r="F9" s="7" t="inlineStr">
        <is>
          <t>HT-05</t>
        </is>
      </c>
    </row>
    <row r="10">
      <c r="A10" s="6" t="n">
        <v>5</v>
      </c>
      <c r="B10" s="6" t="inlineStr">
        <is>
          <t>HT-05</t>
        </is>
      </c>
      <c r="C10" s="7" t="inlineStr">
        <is>
          <t>Quản lý vai trò và quyền chức năng</t>
        </is>
      </c>
      <c r="D10" s="7" t="inlineStr">
        <is>
          <t>Quản trị viên hệ thống</t>
        </is>
      </c>
      <c r="E10" s="6" t="inlineStr">
        <is>
          <t>M</t>
        </is>
      </c>
      <c r="F10" s="7" t="inlineStr">
        <is>
          <t>HT-07</t>
        </is>
      </c>
    </row>
    <row r="11">
      <c r="A11" s="6" t="n">
        <v>6</v>
      </c>
      <c r="B11" s="6" t="inlineStr">
        <is>
          <t>HT-06</t>
        </is>
      </c>
      <c r="C11" s="7" t="inlineStr">
        <is>
          <t>Nhận và quản lý thông báo</t>
        </is>
      </c>
      <c r="D11" s="7" t="inlineStr">
        <is>
          <t>Cả năm tác nhân</t>
        </is>
      </c>
      <c r="E11" s="6" t="inlineStr">
        <is>
          <t>M</t>
        </is>
      </c>
      <c r="F11" s="7" t="inlineStr">
        <is>
          <t>HT-10</t>
        </is>
      </c>
    </row>
    <row r="12">
      <c r="A12" s="4" t="inlineStr">
        <is>
          <t>Danh mục dùng chung (DM)</t>
        </is>
      </c>
      <c r="B12" s="10" t="n"/>
      <c r="C12" s="10" t="n"/>
      <c r="D12" s="10" t="n"/>
      <c r="E12" s="10" t="n"/>
      <c r="F12" s="11" t="n"/>
    </row>
    <row r="13">
      <c r="A13" s="6" t="n">
        <v>7</v>
      </c>
      <c r="B13" s="6" t="inlineStr">
        <is>
          <t>DM-01</t>
        </is>
      </c>
      <c r="C13" s="7" t="inlineStr">
        <is>
          <t>Quản lý danh mục dùng chung</t>
        </is>
      </c>
      <c r="D13" s="7" t="inlineStr">
        <is>
          <t>Quản trị viên hệ thống, Chuyên viên Sở</t>
        </is>
      </c>
      <c r="E13" s="6" t="inlineStr">
        <is>
          <t>S</t>
        </is>
      </c>
      <c r="F13" s="7" t="inlineStr">
        <is>
          <t>DM-01</t>
        </is>
      </c>
    </row>
    <row r="14">
      <c r="A14" s="6" t="n">
        <v>8</v>
      </c>
      <c r="B14" s="6" t="inlineStr">
        <is>
          <t>DM-02</t>
        </is>
      </c>
      <c r="C14" s="7" t="inlineStr">
        <is>
          <t>Quản lý danh mục thiết bị</t>
        </is>
      </c>
      <c r="D14" s="7" t="inlineStr">
        <is>
          <t>Quản trị viên hệ thống, Chuyên viên Sở</t>
        </is>
      </c>
      <c r="E14" s="6" t="inlineStr">
        <is>
          <t>S</t>
        </is>
      </c>
      <c r="F14" s="7" t="inlineStr">
        <is>
          <t>DM-02</t>
        </is>
      </c>
    </row>
    <row r="15">
      <c r="A15" s="6" t="n">
        <v>9</v>
      </c>
      <c r="B15" s="6" t="inlineStr">
        <is>
          <t>DM-03</t>
        </is>
      </c>
      <c r="C15" s="7" t="inlineStr">
        <is>
          <t>Quản lý danh mục thiết bị dạy học tối thiểu và định mức</t>
        </is>
      </c>
      <c r="D15" s="7" t="inlineStr">
        <is>
          <t>Chuyên viên Sở, Quản trị viên hệ thống</t>
        </is>
      </c>
      <c r="E15" s="6" t="inlineStr">
        <is>
          <t>M</t>
        </is>
      </c>
      <c r="F15" s="7" t="inlineStr">
        <is>
          <t>DM-03</t>
        </is>
      </c>
    </row>
    <row r="16">
      <c r="A16" s="6" t="n">
        <v>10</v>
      </c>
      <c r="B16" s="6" t="inlineStr">
        <is>
          <t>DM-04</t>
        </is>
      </c>
      <c r="C16" s="7" t="inlineStr">
        <is>
          <t>Quản lý quy tắc sinh mã</t>
        </is>
      </c>
      <c r="D16" s="7" t="inlineStr">
        <is>
          <t>Quản trị viên hệ thống, Chuyên viên Sở</t>
        </is>
      </c>
      <c r="E16" s="6" t="inlineStr">
        <is>
          <t>M</t>
        </is>
      </c>
      <c r="F16" s="7" t="inlineStr">
        <is>
          <t>DM-04</t>
        </is>
      </c>
    </row>
    <row r="17">
      <c r="A17" s="4" t="inlineStr">
        <is>
          <t>Tổ chức và cơ sở vật chất (TC)</t>
        </is>
      </c>
      <c r="B17" s="10" t="n"/>
      <c r="C17" s="10" t="n"/>
      <c r="D17" s="10" t="n"/>
      <c r="E17" s="10" t="n"/>
      <c r="F17" s="11" t="n"/>
    </row>
    <row r="18">
      <c r="A18" s="6" t="n">
        <v>11</v>
      </c>
      <c r="B18" s="6" t="inlineStr">
        <is>
          <t>TC-01</t>
        </is>
      </c>
      <c r="C18" s="7" t="inlineStr">
        <is>
          <t>Quản lý trường học</t>
        </is>
      </c>
      <c r="D18" s="7" t="inlineStr">
        <is>
          <t>Quản trị viên hệ thống, Chuyên viên Sở</t>
        </is>
      </c>
      <c r="E18" s="6" t="inlineStr">
        <is>
          <t>S</t>
        </is>
      </c>
      <c r="F18" s="7" t="inlineStr">
        <is>
          <t>TC-01</t>
        </is>
      </c>
    </row>
    <row r="19">
      <c r="A19" s="6" t="n">
        <v>12</v>
      </c>
      <c r="B19" s="6" t="inlineStr">
        <is>
          <t>TC-02</t>
        </is>
      </c>
      <c r="C19" s="7" t="inlineStr">
        <is>
          <t>Quản lý phòng</t>
        </is>
      </c>
      <c r="D19" s="7" t="inlineStr">
        <is>
          <t>Lãnh đạo trường, Cán bộ thiết bị trường</t>
        </is>
      </c>
      <c r="E19" s="6" t="inlineStr">
        <is>
          <t>S</t>
        </is>
      </c>
      <c r="F19" s="7" t="inlineStr">
        <is>
          <t>CS-03</t>
        </is>
      </c>
    </row>
    <row r="20">
      <c r="A20" s="4" t="inlineStr">
        <is>
          <t>Hồ sơ thiết bị và mã tài sản (TS)</t>
        </is>
      </c>
      <c r="B20" s="10" t="n"/>
      <c r="C20" s="10" t="n"/>
      <c r="D20" s="10" t="n"/>
      <c r="E20" s="10" t="n"/>
      <c r="F20" s="11" t="n"/>
    </row>
    <row r="21">
      <c r="A21" s="6" t="n">
        <v>13</v>
      </c>
      <c r="B21" s="6" t="inlineStr">
        <is>
          <t>TS-01</t>
        </is>
      </c>
      <c r="C21" s="7" t="inlineStr">
        <is>
          <t>Quản lý hồ sơ thiết bị</t>
        </is>
      </c>
      <c r="D21" s="7" t="inlineStr">
        <is>
          <t>Cán bộ thiết bị trường, Lãnh đạo trường</t>
        </is>
      </c>
      <c r="E21" s="6" t="inlineStr">
        <is>
          <t>M</t>
        </is>
      </c>
      <c r="F21" s="7" t="inlineStr">
        <is>
          <t>TS-01</t>
        </is>
      </c>
    </row>
    <row r="22">
      <c r="A22" s="6" t="n">
        <v>14</v>
      </c>
      <c r="B22" s="6" t="inlineStr">
        <is>
          <t>TS-02</t>
        </is>
      </c>
      <c r="C22" s="7" t="inlineStr">
        <is>
          <t>Tra cứu thiết bị theo mã tài sản</t>
        </is>
      </c>
      <c r="D22" s="7" t="inlineStr">
        <is>
          <t>Cả năm tác nhân</t>
        </is>
      </c>
      <c r="E22" s="6" t="inlineStr">
        <is>
          <t>S</t>
        </is>
      </c>
      <c r="F22" s="7" t="inlineStr">
        <is>
          <t>TS-02</t>
        </is>
      </c>
    </row>
    <row r="23">
      <c r="A23" s="6" t="n">
        <v>15</v>
      </c>
      <c r="B23" s="6" t="inlineStr">
        <is>
          <t>TS-03</t>
        </is>
      </c>
      <c r="C23" s="7" t="inlineStr">
        <is>
          <t>Đính kèm tài liệu, hình ảnh thiết bị</t>
        </is>
      </c>
      <c r="D23" s="7" t="inlineStr">
        <is>
          <t>Cán bộ thiết bị trường; MinIO (tác nhân phụ)</t>
        </is>
      </c>
      <c r="E23" s="6" t="inlineStr">
        <is>
          <t>M</t>
        </is>
      </c>
      <c r="F23" s="7" t="inlineStr">
        <is>
          <t>TS-05</t>
        </is>
      </c>
    </row>
    <row r="24">
      <c r="A24" s="6" t="n">
        <v>16</v>
      </c>
      <c r="B24" s="6" t="inlineStr">
        <is>
          <t>TS-04</t>
        </is>
      </c>
      <c r="C24" s="7" t="inlineStr">
        <is>
          <t>Xem lịch sử thay đổi thiết bị</t>
        </is>
      </c>
      <c r="D24" s="7" t="inlineStr">
        <is>
          <t>Cả năm tác nhân</t>
        </is>
      </c>
      <c r="E24" s="6" t="inlineStr">
        <is>
          <t>M</t>
        </is>
      </c>
      <c r="F24" s="7" t="inlineStr">
        <is>
          <t>TS-06</t>
        </is>
      </c>
    </row>
    <row r="25">
      <c r="A25" s="6" t="n">
        <v>17</v>
      </c>
      <c r="B25" s="6" t="inlineStr">
        <is>
          <t>TS-05</t>
        </is>
      </c>
      <c r="C25" s="7" t="inlineStr">
        <is>
          <t>Cấp mã chuẩn cho thiết bị mang mã cũ</t>
        </is>
      </c>
      <c r="D25" s="7" t="inlineStr">
        <is>
          <t>Cán bộ thiết bị trường</t>
        </is>
      </c>
      <c r="E25" s="6" t="inlineStr">
        <is>
          <t>M</t>
        </is>
      </c>
      <c r="F25" s="7" t="inlineStr">
        <is>
          <t>TS-07</t>
        </is>
      </c>
    </row>
    <row r="26">
      <c r="A26" s="6" t="n">
        <v>18</v>
      </c>
      <c r="B26" s="6" t="inlineStr">
        <is>
          <t>TS-06</t>
        </is>
      </c>
      <c r="C26" s="7" t="inlineStr">
        <is>
          <t>Sinh mã tài sản thiết bị</t>
        </is>
      </c>
      <c r="D26" s="7" t="inlineStr">
        <is>
          <t>Không có tác nhân trực tiếp (được gọi qua «include»)</t>
        </is>
      </c>
      <c r="E26" s="6" t="inlineStr">
        <is>
          <t>C</t>
        </is>
      </c>
      <c r="F26" s="7" t="inlineStr">
        <is>
          <t>TS-08</t>
        </is>
      </c>
    </row>
    <row r="27">
      <c r="A27" s="6" t="n">
        <v>19</v>
      </c>
      <c r="B27" s="6" t="inlineStr">
        <is>
          <t>TS-07</t>
        </is>
      </c>
      <c r="C27" s="7" t="inlineStr">
        <is>
          <t>Nhập dữ liệu thiết bị ban đầu từ tệp</t>
        </is>
      </c>
      <c r="D27" s="7" t="inlineStr">
        <is>
          <t>Cán bộ thiết bị trường</t>
        </is>
      </c>
      <c r="E27" s="6" t="inlineStr">
        <is>
          <t>C</t>
        </is>
      </c>
      <c r="F27" s="7" t="inlineStr">
        <is>
          <t>TS-09</t>
        </is>
      </c>
    </row>
    <row r="28">
      <c r="A28" s="4" t="inlineStr">
        <is>
          <t>Nhu cầu và kế hoạch mua sắm (NC)</t>
        </is>
      </c>
      <c r="B28" s="10" t="n"/>
      <c r="C28" s="10" t="n"/>
      <c r="D28" s="10" t="n"/>
      <c r="E28" s="10" t="n"/>
      <c r="F28" s="11" t="n"/>
    </row>
    <row r="29">
      <c r="A29" s="6" t="n">
        <v>20</v>
      </c>
      <c r="B29" s="6" t="inlineStr">
        <is>
          <t>NC-01</t>
        </is>
      </c>
      <c r="C29" s="7" t="inlineStr">
        <is>
          <t>Xem mức đáp ứng danh mục tối thiểu</t>
        </is>
      </c>
      <c r="D29" s="7" t="inlineStr">
        <is>
          <t>Cán bộ thiết bị trường, Lãnh đạo trường, Chuyên viên Sở</t>
        </is>
      </c>
      <c r="E29" s="6" t="inlineStr">
        <is>
          <t>C</t>
        </is>
      </c>
      <c r="F29" s="7" t="inlineStr">
        <is>
          <t>NC-01</t>
        </is>
      </c>
    </row>
    <row r="30">
      <c r="A30" s="6" t="n">
        <v>21</v>
      </c>
      <c r="B30" s="6" t="inlineStr">
        <is>
          <t>NC-02</t>
        </is>
      </c>
      <c r="C30" s="7" t="inlineStr">
        <is>
          <t>Lập và trình đề xuất mua sắm</t>
        </is>
      </c>
      <c r="D30" s="7" t="inlineStr">
        <is>
          <t>Cán bộ thiết bị trường</t>
        </is>
      </c>
      <c r="E30" s="6" t="inlineStr">
        <is>
          <t>M</t>
        </is>
      </c>
      <c r="F30" s="7" t="inlineStr">
        <is>
          <t>NC-02 + NC-03</t>
        </is>
      </c>
    </row>
    <row r="31">
      <c r="A31" s="6" t="n">
        <v>22</v>
      </c>
      <c r="B31" s="6" t="inlineStr">
        <is>
          <t>NC-03</t>
        </is>
      </c>
      <c r="C31" s="7" t="inlineStr">
        <is>
          <t>Duyệt đề xuất mua sắm cấp trường</t>
        </is>
      </c>
      <c r="D31" s="7" t="inlineStr">
        <is>
          <t>Lãnh đạo trường</t>
        </is>
      </c>
      <c r="E31" s="6" t="inlineStr">
        <is>
          <t>M</t>
        </is>
      </c>
      <c r="F31" s="7" t="inlineStr">
        <is>
          <t>NC-04</t>
        </is>
      </c>
    </row>
    <row r="32">
      <c r="A32" s="6" t="n">
        <v>23</v>
      </c>
      <c r="B32" s="6" t="inlineStr">
        <is>
          <t>NC-04</t>
        </is>
      </c>
      <c r="C32" s="7" t="inlineStr">
        <is>
          <t>Duyệt đề xuất mua sắm cấp Sở</t>
        </is>
      </c>
      <c r="D32" s="7" t="inlineStr">
        <is>
          <t>Lãnh đạo Sở</t>
        </is>
      </c>
      <c r="E32" s="6" t="inlineStr">
        <is>
          <t>M</t>
        </is>
      </c>
      <c r="F32" s="7" t="inlineStr">
        <is>
          <t>NC-05</t>
        </is>
      </c>
    </row>
    <row r="33">
      <c r="A33" s="6" t="n">
        <v>24</v>
      </c>
      <c r="B33" s="6" t="inlineStr">
        <is>
          <t>NC-05</t>
        </is>
      </c>
      <c r="C33" s="7" t="inlineStr">
        <is>
          <t>Lập kế hoạch mua sắm</t>
        </is>
      </c>
      <c r="D33" s="7" t="inlineStr">
        <is>
          <t>Chuyên viên Sở</t>
        </is>
      </c>
      <c r="E33" s="6" t="inlineStr">
        <is>
          <t>C</t>
        </is>
      </c>
      <c r="F33" s="7" t="inlineStr">
        <is>
          <t>NC-06</t>
        </is>
      </c>
    </row>
    <row r="34">
      <c r="A34" s="6" t="n">
        <v>25</v>
      </c>
      <c r="B34" s="6" t="inlineStr">
        <is>
          <t>NC-06</t>
        </is>
      </c>
      <c r="C34" s="7" t="inlineStr">
        <is>
          <t>Duyệt kế hoạch mua sắm</t>
        </is>
      </c>
      <c r="D34" s="7" t="inlineStr">
        <is>
          <t>Lãnh đạo Sở</t>
        </is>
      </c>
      <c r="E34" s="6" t="inlineStr">
        <is>
          <t>M</t>
        </is>
      </c>
      <c r="F34" s="7" t="inlineStr">
        <is>
          <t>NC-07</t>
        </is>
      </c>
    </row>
    <row r="35">
      <c r="A35" s="6" t="n">
        <v>26</v>
      </c>
      <c r="B35" s="6" t="inlineStr">
        <is>
          <t>NC-07</t>
        </is>
      </c>
      <c r="C35" s="7" t="inlineStr">
        <is>
          <t>Lập phiếu nhập từ đề xuất đã hoàn tất</t>
        </is>
      </c>
      <c r="D35" s="7" t="inlineStr">
        <is>
          <t>Cán bộ thiết bị trường</t>
        </is>
      </c>
      <c r="E35" s="6" t="inlineStr">
        <is>
          <t>M</t>
        </is>
      </c>
      <c r="F35" s="7" t="inlineStr">
        <is>
          <t>NC-09</t>
        </is>
      </c>
    </row>
    <row r="36">
      <c r="A36" s="4" t="inlineStr">
        <is>
          <t>Nhập thiết bị – ghi tăng tài sản (PN)</t>
        </is>
      </c>
      <c r="B36" s="10" t="n"/>
      <c r="C36" s="10" t="n"/>
      <c r="D36" s="10" t="n"/>
      <c r="E36" s="10" t="n"/>
      <c r="F36" s="11" t="n"/>
    </row>
    <row r="37">
      <c r="A37" s="6" t="n">
        <v>27</v>
      </c>
      <c r="B37" s="6" t="inlineStr">
        <is>
          <t>PN-01</t>
        </is>
      </c>
      <c r="C37" s="7" t="inlineStr">
        <is>
          <t>Lập phiếu nhập thiết bị</t>
        </is>
      </c>
      <c r="D37" s="7" t="inlineStr">
        <is>
          <t>Cán bộ thiết bị trường; MinIO (tác nhân phụ)</t>
        </is>
      </c>
      <c r="E37" s="6" t="inlineStr">
        <is>
          <t>M</t>
        </is>
      </c>
      <c r="F37" s="7" t="inlineStr">
        <is>
          <t>PN-01 + PN-02 + PN-03</t>
        </is>
      </c>
    </row>
    <row r="38">
      <c r="A38" s="6" t="n">
        <v>28</v>
      </c>
      <c r="B38" s="6" t="inlineStr">
        <is>
          <t>PN-02</t>
        </is>
      </c>
      <c r="C38" s="7" t="inlineStr">
        <is>
          <t>Trình phiếu nhập</t>
        </is>
      </c>
      <c r="D38" s="7" t="inlineStr">
        <is>
          <t>Cán bộ thiết bị trường</t>
        </is>
      </c>
      <c r="E38" s="6" t="inlineStr">
        <is>
          <t>M</t>
        </is>
      </c>
      <c r="F38" s="7" t="inlineStr">
        <is>
          <t>PN-04</t>
        </is>
      </c>
    </row>
    <row r="39">
      <c r="A39" s="6" t="n">
        <v>29</v>
      </c>
      <c r="B39" s="6" t="inlineStr">
        <is>
          <t>PN-03</t>
        </is>
      </c>
      <c r="C39" s="7" t="inlineStr">
        <is>
          <t>Duyệt phiếu nhập và ghi tăng tài sản</t>
        </is>
      </c>
      <c r="D39" s="7" t="inlineStr">
        <is>
          <t>Lãnh đạo trường</t>
        </is>
      </c>
      <c r="E39" s="6" t="inlineStr">
        <is>
          <t>C</t>
        </is>
      </c>
      <c r="F39" s="7" t="inlineStr">
        <is>
          <t>PN-05</t>
        </is>
      </c>
    </row>
    <row r="40">
      <c r="A40" s="4" t="inlineStr">
        <is>
          <t>Kiểm kê (KK)</t>
        </is>
      </c>
      <c r="B40" s="10" t="n"/>
      <c r="C40" s="10" t="n"/>
      <c r="D40" s="10" t="n"/>
      <c r="E40" s="10" t="n"/>
      <c r="F40" s="11" t="n"/>
    </row>
    <row r="41">
      <c r="A41" s="6" t="n">
        <v>30</v>
      </c>
      <c r="B41" s="6" t="inlineStr">
        <is>
          <t>KK-01</t>
        </is>
      </c>
      <c r="C41" s="7" t="inlineStr">
        <is>
          <t>Phát động đợt kiểm kê</t>
        </is>
      </c>
      <c r="D41" s="7" t="inlineStr">
        <is>
          <t>Chuyên viên Sở</t>
        </is>
      </c>
      <c r="E41" s="6" t="inlineStr">
        <is>
          <t>M</t>
        </is>
      </c>
      <c r="F41" s="7" t="inlineStr">
        <is>
          <t>KK-01</t>
        </is>
      </c>
    </row>
    <row r="42">
      <c r="A42" s="6" t="n">
        <v>31</v>
      </c>
      <c r="B42" s="6" t="inlineStr">
        <is>
          <t>KK-02</t>
        </is>
      </c>
      <c r="C42" s="7" t="inlineStr">
        <is>
          <t>Theo dõi tiến độ kiểm kê</t>
        </is>
      </c>
      <c r="D42" s="7" t="inlineStr">
        <is>
          <t>Lãnh đạo Sở, Chuyên viên Sở, Lãnh đạo trường, Cán bộ thiết bị trường</t>
        </is>
      </c>
      <c r="E42" s="6" t="inlineStr">
        <is>
          <t>M</t>
        </is>
      </c>
      <c r="F42" s="7" t="inlineStr">
        <is>
          <t>KK-02</t>
        </is>
      </c>
    </row>
    <row r="43">
      <c r="A43" s="6" t="n">
        <v>32</v>
      </c>
      <c r="B43" s="6" t="inlineStr">
        <is>
          <t>KK-03</t>
        </is>
      </c>
      <c r="C43" s="7" t="inlineStr">
        <is>
          <t>Lập phiếu kiểm kê</t>
        </is>
      </c>
      <c r="D43" s="7" t="inlineStr">
        <is>
          <t>Cán bộ thiết bị trường</t>
        </is>
      </c>
      <c r="E43" s="6" t="inlineStr">
        <is>
          <t>C</t>
        </is>
      </c>
      <c r="F43" s="7" t="inlineStr">
        <is>
          <t>KK-03</t>
        </is>
      </c>
    </row>
    <row r="44">
      <c r="A44" s="6" t="n">
        <v>33</v>
      </c>
      <c r="B44" s="6" t="inlineStr">
        <is>
          <t>KK-04</t>
        </is>
      </c>
      <c r="C44" s="7" t="inlineStr">
        <is>
          <t>Ghi kết quả kiểm đếm</t>
        </is>
      </c>
      <c r="D44" s="7" t="inlineStr">
        <is>
          <t>Cán bộ thiết bị trường</t>
        </is>
      </c>
      <c r="E44" s="6" t="inlineStr">
        <is>
          <t>M</t>
        </is>
      </c>
      <c r="F44" s="7" t="inlineStr">
        <is>
          <t>KK-04 + KK-05</t>
        </is>
      </c>
    </row>
    <row r="45">
      <c r="A45" s="6" t="n">
        <v>34</v>
      </c>
      <c r="B45" s="6" t="inlineStr">
        <is>
          <t>KK-05</t>
        </is>
      </c>
      <c r="C45" s="7" t="inlineStr">
        <is>
          <t>Trình biên bản kiểm kê</t>
        </is>
      </c>
      <c r="D45" s="7" t="inlineStr">
        <is>
          <t>Cán bộ thiết bị trường</t>
        </is>
      </c>
      <c r="E45" s="6" t="inlineStr">
        <is>
          <t>M</t>
        </is>
      </c>
      <c r="F45" s="7" t="inlineStr">
        <is>
          <t>KK-06</t>
        </is>
      </c>
    </row>
    <row r="46">
      <c r="A46" s="6" t="n">
        <v>35</v>
      </c>
      <c r="B46" s="6" t="inlineStr">
        <is>
          <t>KK-06</t>
        </is>
      </c>
      <c r="C46" s="7" t="inlineStr">
        <is>
          <t>Duyệt biên bản kiểm kê</t>
        </is>
      </c>
      <c r="D46" s="7" t="inlineStr">
        <is>
          <t>Lãnh đạo trường</t>
        </is>
      </c>
      <c r="E46" s="6" t="inlineStr">
        <is>
          <t>C</t>
        </is>
      </c>
      <c r="F46" s="7" t="inlineStr">
        <is>
          <t>KK-07</t>
        </is>
      </c>
    </row>
    <row r="47">
      <c r="A47" s="6" t="n">
        <v>36</v>
      </c>
      <c r="B47" s="6" t="inlineStr">
        <is>
          <t>KK-07</t>
        </is>
      </c>
      <c r="C47" s="7" t="inlineStr">
        <is>
          <t>Xuất biên bản kiểm kê</t>
        </is>
      </c>
      <c r="D47" s="7" t="inlineStr">
        <is>
          <t>Cán bộ thiết bị trường, Lãnh đạo trường</t>
        </is>
      </c>
      <c r="E47" s="6" t="inlineStr">
        <is>
          <t>M</t>
        </is>
      </c>
      <c r="F47" s="7" t="inlineStr">
        <is>
          <t>KK-08</t>
        </is>
      </c>
    </row>
    <row r="48">
      <c r="A48" s="4" t="inlineStr">
        <is>
          <t>Báo cáo và bảng điều khiển (BC)</t>
        </is>
      </c>
      <c r="B48" s="10" t="n"/>
      <c r="C48" s="10" t="n"/>
      <c r="D48" s="10" t="n"/>
      <c r="E48" s="10" t="n"/>
      <c r="F48" s="11" t="n"/>
    </row>
    <row r="49">
      <c r="A49" s="6" t="n">
        <v>37</v>
      </c>
      <c r="B49" s="6" t="inlineStr">
        <is>
          <t>BC-01</t>
        </is>
      </c>
      <c r="C49" s="7" t="inlineStr">
        <is>
          <t>Xem bảng điều khiển</t>
        </is>
      </c>
      <c r="D49" s="7" t="inlineStr">
        <is>
          <t>Cả năm tác nhân</t>
        </is>
      </c>
      <c r="E49" s="6" t="inlineStr">
        <is>
          <t>M</t>
        </is>
      </c>
      <c r="F49" s="7" t="inlineStr">
        <is>
          <t>BC-01</t>
        </is>
      </c>
    </row>
    <row r="50">
      <c r="A50" s="6" t="n">
        <v>38</v>
      </c>
      <c r="B50" s="6" t="inlineStr">
        <is>
          <t>BC-02</t>
        </is>
      </c>
      <c r="C50" s="7" t="inlineStr">
        <is>
          <t>Xem báo cáo tài sản thiết bị</t>
        </is>
      </c>
      <c r="D50" s="7" t="inlineStr">
        <is>
          <t>Cả năm tác nhân</t>
        </is>
      </c>
      <c r="E50" s="6" t="inlineStr">
        <is>
          <t>M</t>
        </is>
      </c>
      <c r="F50" s="7" t="inlineStr">
        <is>
          <t>BC-02 (tách)</t>
        </is>
      </c>
    </row>
    <row r="51">
      <c r="A51" s="6" t="n">
        <v>39</v>
      </c>
      <c r="B51" s="6" t="inlineStr">
        <is>
          <t>BC-03</t>
        </is>
      </c>
      <c r="C51" s="7" t="inlineStr">
        <is>
          <t>Xem báo cáo mức đáp ứng danh mục thiết bị tối thiểu</t>
        </is>
      </c>
      <c r="D51" s="7" t="inlineStr">
        <is>
          <t>Cả năm tác nhân</t>
        </is>
      </c>
      <c r="E51" s="6" t="inlineStr">
        <is>
          <t>M</t>
        </is>
      </c>
      <c r="F51" s="7" t="inlineStr">
        <is>
          <t>BC-02 (tách)</t>
        </is>
      </c>
    </row>
    <row r="52">
      <c r="A52" s="6" t="n">
        <v>40</v>
      </c>
      <c r="B52" s="6" t="inlineStr">
        <is>
          <t>BC-04</t>
        </is>
      </c>
      <c r="C52" s="7" t="inlineStr">
        <is>
          <t>Xem báo cáo nhu cầu và kế hoạch mua sắm</t>
        </is>
      </c>
      <c r="D52" s="7" t="inlineStr">
        <is>
          <t>Cả năm tác nhân</t>
        </is>
      </c>
      <c r="E52" s="6" t="inlineStr">
        <is>
          <t>M</t>
        </is>
      </c>
      <c r="F52" s="7" t="inlineStr">
        <is>
          <t>BC-02 (tách) + NC-08</t>
        </is>
      </c>
    </row>
    <row r="53">
      <c r="A53" s="6" t="n">
        <v>41</v>
      </c>
      <c r="B53" s="6" t="inlineStr">
        <is>
          <t>BC-05</t>
        </is>
      </c>
      <c r="C53" s="7" t="inlineStr">
        <is>
          <t>Xem báo cáo kết quả kiểm kê</t>
        </is>
      </c>
      <c r="D53" s="7" t="inlineStr">
        <is>
          <t>Cả năm tác nhân</t>
        </is>
      </c>
      <c r="E53" s="6" t="inlineStr">
        <is>
          <t>M</t>
        </is>
      </c>
      <c r="F53" s="7" t="inlineStr">
        <is>
          <t>BC-02 (tách)</t>
        </is>
      </c>
    </row>
    <row r="54">
      <c r="A54" s="6" t="n">
        <v>42</v>
      </c>
      <c r="B54" s="6" t="inlineStr">
        <is>
          <t>BC-06</t>
        </is>
      </c>
      <c r="C54" s="7" t="inlineStr">
        <is>
          <t>Xuất dữ liệu danh sách và báo cáo</t>
        </is>
      </c>
      <c r="D54" s="7" t="inlineStr">
        <is>
          <t>Cả năm tác nhân</t>
        </is>
      </c>
      <c r="E54" s="6" t="inlineStr">
        <is>
          <t>M</t>
        </is>
      </c>
      <c r="F54" s="7" t="inlineStr">
        <is>
          <t>BC-04</t>
        </is>
      </c>
    </row>
  </sheetData>
  <mergeCells count="8">
    <mergeCell ref="A28:F28"/>
    <mergeCell ref="A36:F36"/>
    <mergeCell ref="A5:F5"/>
    <mergeCell ref="A17:F17"/>
    <mergeCell ref="A12:F12"/>
    <mergeCell ref="A40:F40"/>
    <mergeCell ref="A48:F48"/>
    <mergeCell ref="A20:F20"/>
  </mergeCells>
  <dataValidations count="1">
    <dataValidation sqref="E5:E54" showDropDown="0" showInputMessage="0" showErrorMessage="0" allowBlank="0" type="list">
      <formula1>"S,M,C"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38" customWidth="1" min="3" max="3"/>
  </cols>
  <sheetData>
    <row r="1">
      <c r="A1" s="1" t="inlineStr">
        <is>
          <t>Tổng hợp số lượng use case</t>
        </is>
      </c>
    </row>
    <row r="2">
      <c r="A2" s="3" t="inlineStr">
        <is>
          <t>Chỉ tiêu</t>
        </is>
      </c>
      <c r="B2" s="3" t="inlineStr">
        <is>
          <t>Số lượng</t>
        </is>
      </c>
    </row>
    <row r="3">
      <c r="A3" s="8" t="inlineStr">
        <is>
          <t>Simple (S)</t>
        </is>
      </c>
      <c r="B3" s="6">
        <f>COUNTIF('Danh sach UC'!$E$5:$E$54,"S")</f>
        <v/>
      </c>
    </row>
    <row r="4">
      <c r="A4" s="8" t="inlineStr">
        <is>
          <t>Medium (M)</t>
        </is>
      </c>
      <c r="B4" s="6">
        <f>COUNTIF('Danh sach UC'!$E$5:$E$54,"M")</f>
        <v/>
      </c>
    </row>
    <row r="5">
      <c r="A5" s="8" t="inlineStr">
        <is>
          <t>Complex (C)</t>
        </is>
      </c>
      <c r="B5" s="6">
        <f>COUNTIF('Danh sach UC'!$E$5:$E$54,"C")</f>
        <v/>
      </c>
    </row>
    <row r="6">
      <c r="A6" s="8" t="inlineStr">
        <is>
          <t>Tổng số UC</t>
        </is>
      </c>
      <c r="B6" s="6">
        <f>SUM(B3:B5)</f>
        <v/>
      </c>
    </row>
    <row r="7">
      <c r="A7" s="8" t="inlineStr">
        <is>
          <t>Số UC từ Medium trở lên</t>
        </is>
      </c>
      <c r="B7" s="6">
        <f>B4+B5</f>
        <v/>
      </c>
    </row>
    <row r="8">
      <c r="A8" s="8" t="inlineStr">
        <is>
          <t>Yêu cầu tối thiểu (Medium trở lên)</t>
        </is>
      </c>
      <c r="B8" s="9" t="n">
        <v>25</v>
      </c>
      <c r="C8" s="2" t="inlineStr">
        <is>
          <t>Theo yêu cầu đồ án do nhóm cung cấp</t>
        </is>
      </c>
    </row>
    <row r="9">
      <c r="A9" s="8" t="inlineStr">
        <is>
          <t>Dư so với yêu cầu</t>
        </is>
      </c>
      <c r="B9" s="6">
        <f>B7-B8</f>
        <v/>
      </c>
    </row>
    <row r="10">
      <c r="A10" s="8" t="inlineStr">
        <is>
          <t>Đạt yêu cầu?</t>
        </is>
      </c>
      <c r="B10" s="6">
        <f>IF(B7&gt;=B8,"Đạt","Chưa đạt")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9" customWidth="1" min="3" max="3"/>
    <col width="50" customWidth="1" min="4" max="4"/>
  </cols>
  <sheetData>
    <row r="1">
      <c r="A1" s="1" t="inlineStr">
        <is>
          <t>Use case của bản nộp lần 1 bị bỏ, gộp hoặc thuộc dự án của Sở (mã cũ)</t>
        </is>
      </c>
    </row>
    <row r="3">
      <c r="A3" s="3" t="inlineStr">
        <is>
          <t>STT</t>
        </is>
      </c>
      <c r="B3" s="3" t="inlineStr">
        <is>
          <t>Xử lý</t>
        </is>
      </c>
      <c r="C3" s="3" t="inlineStr">
        <is>
          <t>Mã cũ</t>
        </is>
      </c>
      <c r="D3" s="3" t="inlineStr">
        <is>
          <t>Tên / ghi chú</t>
        </is>
      </c>
    </row>
    <row r="4">
      <c r="A4" s="6" t="n">
        <v>1</v>
      </c>
      <c r="B4" s="7" t="inlineStr">
        <is>
          <t>Bỏ</t>
        </is>
      </c>
      <c r="C4" s="6" t="inlineStr">
        <is>
          <t>HT-04</t>
        </is>
      </c>
      <c r="D4" s="7" t="inlineStr">
        <is>
          <t>Thiết lập xác thực hai yếu tố</t>
        </is>
      </c>
    </row>
    <row r="5">
      <c r="A5" s="6" t="n">
        <v>2</v>
      </c>
      <c r="B5" s="7" t="inlineStr">
        <is>
          <t>Bỏ</t>
        </is>
      </c>
      <c r="C5" s="6" t="inlineStr">
        <is>
          <t>HT-06</t>
        </is>
      </c>
      <c r="D5" s="7" t="inlineStr">
        <is>
          <t>Quản lý tài khoản của trường</t>
        </is>
      </c>
    </row>
    <row r="6">
      <c r="A6" s="6" t="n">
        <v>3</v>
      </c>
      <c r="B6" s="7" t="inlineStr">
        <is>
          <t>Bỏ</t>
        </is>
      </c>
      <c r="C6" s="6" t="inlineStr">
        <is>
          <t>HT-08</t>
        </is>
      </c>
      <c r="D6" s="7" t="inlineStr">
        <is>
          <t>Quản lý phạm vi dữ liệu của vai trò</t>
        </is>
      </c>
    </row>
    <row r="7">
      <c r="A7" s="6" t="n">
        <v>4</v>
      </c>
      <c r="B7" s="7" t="inlineStr">
        <is>
          <t>Bỏ</t>
        </is>
      </c>
      <c r="C7" s="6" t="inlineStr">
        <is>
          <t>HT-09</t>
        </is>
      </c>
      <c r="D7" s="7" t="inlineStr">
        <is>
          <t>Tra cứu nhật ký hoạt động</t>
        </is>
      </c>
    </row>
    <row r="8">
      <c r="A8" s="6" t="n">
        <v>5</v>
      </c>
      <c r="B8" s="7" t="inlineStr">
        <is>
          <t>Bỏ</t>
        </is>
      </c>
      <c r="C8" s="6" t="inlineStr">
        <is>
          <t>TC-02</t>
        </is>
      </c>
      <c r="D8" s="7" t="inlineStr">
        <is>
          <t>Quản lý cán bộ của trường</t>
        </is>
      </c>
    </row>
    <row r="9">
      <c r="A9" s="6" t="n">
        <v>6</v>
      </c>
      <c r="B9" s="7" t="inlineStr">
        <is>
          <t>Bỏ</t>
        </is>
      </c>
      <c r="C9" s="6" t="inlineStr">
        <is>
          <t>TC-03</t>
        </is>
      </c>
      <c r="D9" s="7" t="inlineStr">
        <is>
          <t>Xem tổng quan một trường</t>
        </is>
      </c>
    </row>
    <row r="10">
      <c r="A10" s="6" t="n">
        <v>7</v>
      </c>
      <c r="B10" s="7" t="inlineStr">
        <is>
          <t>Bỏ</t>
        </is>
      </c>
      <c r="C10" s="6" t="inlineStr">
        <is>
          <t>CS-01</t>
        </is>
      </c>
      <c r="D10" s="7" t="inlineStr">
        <is>
          <t>Quản lý cơ sở – điểm trường</t>
        </is>
      </c>
    </row>
    <row r="11">
      <c r="A11" s="6" t="n">
        <v>8</v>
      </c>
      <c r="B11" s="7" t="inlineStr">
        <is>
          <t>Bỏ</t>
        </is>
      </c>
      <c r="C11" s="6" t="inlineStr">
        <is>
          <t>CS-02</t>
        </is>
      </c>
      <c r="D11" s="7" t="inlineStr">
        <is>
          <t>Quản lý khối nhà</t>
        </is>
      </c>
    </row>
    <row r="12">
      <c r="A12" s="6" t="n">
        <v>9</v>
      </c>
      <c r="B12" s="7" t="inlineStr">
        <is>
          <t>Bỏ</t>
        </is>
      </c>
      <c r="C12" s="6" t="inlineStr">
        <is>
          <t>TS-03</t>
        </is>
      </c>
      <c r="D12" s="7" t="inlineStr">
        <is>
          <t>Quét mã QR mở hồ sơ thiết bị</t>
        </is>
      </c>
    </row>
    <row r="13">
      <c r="A13" s="6" t="n">
        <v>10</v>
      </c>
      <c r="B13" s="7" t="inlineStr">
        <is>
          <t>Bỏ</t>
        </is>
      </c>
      <c r="C13" s="6" t="inlineStr">
        <is>
          <t>TS-04</t>
        </is>
      </c>
      <c r="D13" s="7" t="inlineStr">
        <is>
          <t>In tem mã QR</t>
        </is>
      </c>
    </row>
    <row r="14">
      <c r="A14" s="6" t="n">
        <v>11</v>
      </c>
      <c r="B14" s="7" t="inlineStr">
        <is>
          <t>Bỏ</t>
        </is>
      </c>
      <c r="C14" s="6" t="inlineStr">
        <is>
          <t>BC-03</t>
        </is>
      </c>
      <c r="D14" s="7" t="inlineStr">
        <is>
          <t>Xem nhật ký duyệt chứng từ</t>
        </is>
      </c>
    </row>
    <row r="15">
      <c r="A15" s="6" t="n">
        <v>12</v>
      </c>
      <c r="B15" s="7" t="inlineStr">
        <is>
          <t>Gộp vào UC khác</t>
        </is>
      </c>
      <c r="C15" s="6" t="inlineStr">
        <is>
          <t>NC-03</t>
        </is>
      </c>
      <c r="D15" s="7" t="inlineStr">
        <is>
          <t>Trình đề xuất mua sắm → NC-02</t>
        </is>
      </c>
    </row>
    <row r="16">
      <c r="A16" s="6" t="n">
        <v>13</v>
      </c>
      <c r="B16" s="7" t="inlineStr">
        <is>
          <t>Gộp vào UC khác</t>
        </is>
      </c>
      <c r="C16" s="6" t="inlineStr">
        <is>
          <t>NC-08</t>
        </is>
      </c>
      <c r="D16" s="7" t="inlineStr">
        <is>
          <t>Tổng hợp nhu cầu mua sắm → BC-04</t>
        </is>
      </c>
    </row>
    <row r="17">
      <c r="A17" s="6" t="n">
        <v>14</v>
      </c>
      <c r="B17" s="7" t="inlineStr">
        <is>
          <t>Gộp vào UC khác</t>
        </is>
      </c>
      <c r="C17" s="6" t="inlineStr">
        <is>
          <t>PN-02</t>
        </is>
      </c>
      <c r="D17" s="7" t="inlineStr">
        <is>
          <t>Thêm thiết bị ngoài danh mục → PN-01</t>
        </is>
      </c>
    </row>
    <row r="18">
      <c r="A18" s="6" t="n">
        <v>15</v>
      </c>
      <c r="B18" s="7" t="inlineStr">
        <is>
          <t>Gộp vào UC khác</t>
        </is>
      </c>
      <c r="C18" s="6" t="inlineStr">
        <is>
          <t>PN-03</t>
        </is>
      </c>
      <c r="D18" s="7" t="inlineStr">
        <is>
          <t>Đính kèm chứng từ của phiếu nhập → PN-01</t>
        </is>
      </c>
    </row>
    <row r="19">
      <c r="A19" s="6" t="n">
        <v>16</v>
      </c>
      <c r="B19" s="7" t="inlineStr">
        <is>
          <t>Gộp vào UC khác</t>
        </is>
      </c>
      <c r="C19" s="6" t="inlineStr">
        <is>
          <t>KK-05</t>
        </is>
      </c>
      <c r="D19" s="7" t="inlineStr">
        <is>
          <t>Khai tài sản thừa → KK-04</t>
        </is>
      </c>
    </row>
    <row r="20">
      <c r="A20" s="6" t="n">
        <v>17</v>
      </c>
      <c r="B20" s="7" t="inlineStr">
        <is>
          <t>Dự án của Sở – BF-04 Cấp phát – bàn giao</t>
        </is>
      </c>
      <c r="C20" s="6" t="inlineStr">
        <is>
          <t>CP-01</t>
        </is>
      </c>
      <c r="D20" s="7" t="inlineStr"/>
    </row>
    <row r="21">
      <c r="A21" s="6" t="n">
        <v>18</v>
      </c>
      <c r="B21" s="7" t="inlineStr">
        <is>
          <t>Dự án của Sở – BF-04 Cấp phát – bàn giao</t>
        </is>
      </c>
      <c r="C21" s="6" t="inlineStr">
        <is>
          <t>CP-02</t>
        </is>
      </c>
      <c r="D21" s="7" t="inlineStr"/>
    </row>
    <row r="22">
      <c r="A22" s="6" t="n">
        <v>19</v>
      </c>
      <c r="B22" s="7" t="inlineStr">
        <is>
          <t>Dự án của Sở – BF-04 Cấp phát – bàn giao</t>
        </is>
      </c>
      <c r="C22" s="6" t="inlineStr">
        <is>
          <t>CP-03</t>
        </is>
      </c>
      <c r="D22" s="7" t="inlineStr"/>
    </row>
    <row r="23">
      <c r="A23" s="6" t="n">
        <v>20</v>
      </c>
      <c r="B23" s="7" t="inlineStr">
        <is>
          <t>Dự án của Sở – BF-04 Cấp phát – bàn giao</t>
        </is>
      </c>
      <c r="C23" s="6" t="inlineStr">
        <is>
          <t>CP-04</t>
        </is>
      </c>
      <c r="D23" s="7" t="inlineStr"/>
    </row>
    <row r="24">
      <c r="A24" s="6" t="n">
        <v>21</v>
      </c>
      <c r="B24" s="7" t="inlineStr">
        <is>
          <t>Dự án của Sở – BF-04 Cấp phát – bàn giao</t>
        </is>
      </c>
      <c r="C24" s="6" t="inlineStr">
        <is>
          <t>CP-05</t>
        </is>
      </c>
      <c r="D24" s="7" t="inlineStr"/>
    </row>
    <row r="25">
      <c r="A25" s="6" t="n">
        <v>22</v>
      </c>
      <c r="B25" s="7" t="inlineStr">
        <is>
          <t>Dự án của Sở – BF-05 Điều chuyển</t>
        </is>
      </c>
      <c r="C25" s="6" t="inlineStr">
        <is>
          <t>DC-01</t>
        </is>
      </c>
      <c r="D25" s="7" t="inlineStr"/>
    </row>
    <row r="26">
      <c r="A26" s="6" t="n">
        <v>23</v>
      </c>
      <c r="B26" s="7" t="inlineStr">
        <is>
          <t>Dự án của Sở – BF-05 Điều chuyển</t>
        </is>
      </c>
      <c r="C26" s="6" t="inlineStr">
        <is>
          <t>DC-02</t>
        </is>
      </c>
      <c r="D26" s="7" t="inlineStr"/>
    </row>
    <row r="27">
      <c r="A27" s="6" t="n">
        <v>24</v>
      </c>
      <c r="B27" s="7" t="inlineStr">
        <is>
          <t>Dự án của Sở – BF-05 Điều chuyển</t>
        </is>
      </c>
      <c r="C27" s="6" t="inlineStr">
        <is>
          <t>DC-03</t>
        </is>
      </c>
      <c r="D27" s="7" t="inlineStr"/>
    </row>
    <row r="28">
      <c r="A28" s="6" t="n">
        <v>25</v>
      </c>
      <c r="B28" s="7" t="inlineStr">
        <is>
          <t>Dự án của Sở – BF-05 Điều chuyển</t>
        </is>
      </c>
      <c r="C28" s="6" t="inlineStr">
        <is>
          <t>DC-04</t>
        </is>
      </c>
      <c r="D28" s="7" t="inlineStr"/>
    </row>
    <row r="29">
      <c r="A29" s="6" t="n">
        <v>26</v>
      </c>
      <c r="B29" s="7" t="inlineStr">
        <is>
          <t>Dự án của Sở – BF-05 Điều chuyển</t>
        </is>
      </c>
      <c r="C29" s="6" t="inlineStr">
        <is>
          <t>DC-05</t>
        </is>
      </c>
      <c r="D29" s="7" t="inlineStr"/>
    </row>
    <row r="30">
      <c r="A30" s="6" t="n">
        <v>27</v>
      </c>
      <c r="B30" s="7" t="inlineStr">
        <is>
          <t>Dự án của Sở – BF-05 Điều chuyển</t>
        </is>
      </c>
      <c r="C30" s="6" t="inlineStr">
        <is>
          <t>DC-06</t>
        </is>
      </c>
      <c r="D30" s="7" t="inlineStr"/>
    </row>
    <row r="31">
      <c r="A31" s="6" t="n">
        <v>28</v>
      </c>
      <c r="B31" s="7" t="inlineStr">
        <is>
          <t>Dự án của Sở – Mượn – trả</t>
        </is>
      </c>
      <c r="C31" s="6" t="inlineStr">
        <is>
          <t>MT-01</t>
        </is>
      </c>
      <c r="D31" s="7" t="inlineStr"/>
    </row>
    <row r="32">
      <c r="A32" s="6" t="n">
        <v>29</v>
      </c>
      <c r="B32" s="7" t="inlineStr">
        <is>
          <t>Dự án của Sở – Mượn – trả</t>
        </is>
      </c>
      <c r="C32" s="6" t="inlineStr">
        <is>
          <t>MT-02</t>
        </is>
      </c>
      <c r="D32" s="7" t="inlineStr"/>
    </row>
    <row r="33">
      <c r="A33" s="6" t="n">
        <v>30</v>
      </c>
      <c r="B33" s="7" t="inlineStr">
        <is>
          <t>Dự án của Sở – Mượn – trả</t>
        </is>
      </c>
      <c r="C33" s="6" t="inlineStr">
        <is>
          <t>MT-03</t>
        </is>
      </c>
      <c r="D33" s="7" t="inlineStr"/>
    </row>
    <row r="34">
      <c r="A34" s="6" t="n">
        <v>31</v>
      </c>
      <c r="B34" s="7" t="inlineStr">
        <is>
          <t>Dự án của Sở – Mượn – trả</t>
        </is>
      </c>
      <c r="C34" s="6" t="inlineStr">
        <is>
          <t>MT-04</t>
        </is>
      </c>
      <c r="D34" s="7" t="inlineStr"/>
    </row>
    <row r="35">
      <c r="A35" s="6" t="n">
        <v>32</v>
      </c>
      <c r="B35" s="7" t="inlineStr">
        <is>
          <t>Dự án của Sở – BF-06 Báo hỏng, sửa chữa, bảo trì</t>
        </is>
      </c>
      <c r="C35" s="6" t="inlineStr">
        <is>
          <t>BH-01</t>
        </is>
      </c>
      <c r="D35" s="7" t="inlineStr"/>
    </row>
    <row r="36">
      <c r="A36" s="6" t="n">
        <v>33</v>
      </c>
      <c r="B36" s="7" t="inlineStr">
        <is>
          <t>Dự án của Sở – BF-06 Báo hỏng, sửa chữa, bảo trì</t>
        </is>
      </c>
      <c r="C36" s="6" t="inlineStr">
        <is>
          <t>BH-02</t>
        </is>
      </c>
      <c r="D36" s="7" t="inlineStr"/>
    </row>
    <row r="37">
      <c r="A37" s="6" t="n">
        <v>34</v>
      </c>
      <c r="B37" s="7" t="inlineStr">
        <is>
          <t>Dự án của Sở – BF-06 Báo hỏng, sửa chữa, bảo trì</t>
        </is>
      </c>
      <c r="C37" s="6" t="inlineStr">
        <is>
          <t>BH-03</t>
        </is>
      </c>
      <c r="D37" s="7" t="inlineStr"/>
    </row>
    <row r="38">
      <c r="A38" s="6" t="n">
        <v>35</v>
      </c>
      <c r="B38" s="7" t="inlineStr">
        <is>
          <t>Dự án của Sở – BF-06 Báo hỏng, sửa chữa, bảo trì</t>
        </is>
      </c>
      <c r="C38" s="6" t="inlineStr">
        <is>
          <t>BH-04</t>
        </is>
      </c>
      <c r="D38" s="7" t="inlineStr"/>
    </row>
    <row r="39">
      <c r="A39" s="6" t="n">
        <v>36</v>
      </c>
      <c r="B39" s="7" t="inlineStr">
        <is>
          <t>Dự án của Sở – BF-06 Báo hỏng, sửa chữa, bảo trì</t>
        </is>
      </c>
      <c r="C39" s="6" t="inlineStr">
        <is>
          <t>BH-05</t>
        </is>
      </c>
      <c r="D39" s="7" t="inlineStr"/>
    </row>
    <row r="40">
      <c r="A40" s="6" t="n">
        <v>37</v>
      </c>
      <c r="B40" s="7" t="inlineStr">
        <is>
          <t>Dự án của Sở – BF-06 Báo hỏng, sửa chữa, bảo trì</t>
        </is>
      </c>
      <c r="C40" s="6" t="inlineStr">
        <is>
          <t>BH-06</t>
        </is>
      </c>
      <c r="D40" s="7" t="inlineStr"/>
    </row>
    <row r="41">
      <c r="A41" s="6" t="n">
        <v>38</v>
      </c>
      <c r="B41" s="7" t="inlineStr">
        <is>
          <t>Dự án của Sở – BF-06 Báo hỏng, sửa chữa, bảo trì</t>
        </is>
      </c>
      <c r="C41" s="6" t="inlineStr">
        <is>
          <t>BH-07</t>
        </is>
      </c>
      <c r="D41" s="7" t="inlineStr"/>
    </row>
    <row r="42">
      <c r="A42" s="6" t="n">
        <v>39</v>
      </c>
      <c r="B42" s="7" t="inlineStr">
        <is>
          <t>Dự án của Sở – BF-06 Báo hỏng, sửa chữa, bảo trì</t>
        </is>
      </c>
      <c r="C42" s="6" t="inlineStr">
        <is>
          <t>BH-08</t>
        </is>
      </c>
      <c r="D42" s="7" t="inlineStr"/>
    </row>
    <row r="43">
      <c r="A43" s="6" t="n">
        <v>40</v>
      </c>
      <c r="B43" s="7" t="inlineStr">
        <is>
          <t>Dự án của Sở – BF-07 Thanh lý – ghi giảm</t>
        </is>
      </c>
      <c r="C43" s="6" t="inlineStr">
        <is>
          <t>TL-01</t>
        </is>
      </c>
      <c r="D43" s="7" t="inlineStr"/>
    </row>
    <row r="44">
      <c r="A44" s="6" t="n">
        <v>41</v>
      </c>
      <c r="B44" s="7" t="inlineStr">
        <is>
          <t>Dự án của Sở – BF-07 Thanh lý – ghi giảm</t>
        </is>
      </c>
      <c r="C44" s="6" t="inlineStr">
        <is>
          <t>TL-02</t>
        </is>
      </c>
      <c r="D44" s="7" t="inlineStr"/>
    </row>
    <row r="45">
      <c r="A45" s="6" t="n">
        <v>42</v>
      </c>
      <c r="B45" s="7" t="inlineStr">
        <is>
          <t>Dự án của Sở – BF-07 Thanh lý – ghi giảm</t>
        </is>
      </c>
      <c r="C45" s="6" t="inlineStr">
        <is>
          <t>TL-03</t>
        </is>
      </c>
      <c r="D45" s="7" t="inlineStr"/>
    </row>
    <row r="46">
      <c r="A46" s="6" t="n">
        <v>43</v>
      </c>
      <c r="B46" s="7" t="inlineStr">
        <is>
          <t>Dự án của Sở – BF-07 Thanh lý – ghi giảm</t>
        </is>
      </c>
      <c r="C46" s="6" t="inlineStr">
        <is>
          <t>TL-04</t>
        </is>
      </c>
      <c r="D46" s="7" t="inlineStr"/>
    </row>
    <row r="47">
      <c r="A47" s="6" t="n">
        <v>44</v>
      </c>
      <c r="B47" s="7" t="inlineStr">
        <is>
          <t>Dự án của Sở – BF-07 Thanh lý – ghi giảm</t>
        </is>
      </c>
      <c r="C47" s="6" t="inlineStr">
        <is>
          <t>TL-05</t>
        </is>
      </c>
      <c r="D47" s="7" t="inlineStr"/>
    </row>
    <row r="48">
      <c r="A48" s="6" t="n">
        <v>45</v>
      </c>
      <c r="B48" s="7" t="inlineStr">
        <is>
          <t>Dự án của Sở – BF-07 Thanh lý – ghi giảm</t>
        </is>
      </c>
      <c r="C48" s="6" t="inlineStr">
        <is>
          <t>TL-06</t>
        </is>
      </c>
      <c r="D48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26" customWidth="1" min="3" max="3"/>
    <col width="32" customWidth="1" min="4" max="4"/>
    <col width="64" customWidth="1" min="5" max="5"/>
  </cols>
  <sheetData>
    <row r="1">
      <c r="A1" s="1" t="inlineStr">
        <is>
          <t>Nội dung các use case báo cáo</t>
        </is>
      </c>
    </row>
    <row r="3">
      <c r="A3" s="3" t="inlineStr">
        <is>
          <t>Mã UC</t>
        </is>
      </c>
      <c r="B3" s="3" t="inlineStr">
        <is>
          <t>Báo cáo / màn hình</t>
        </is>
      </c>
      <c r="C3" s="3" t="inlineStr">
        <is>
          <t>Phạm vi dữ liệu</t>
        </is>
      </c>
      <c r="D3" s="3" t="inlineStr">
        <is>
          <t>Lọc theo</t>
        </is>
      </c>
      <c r="E3" s="3" t="inlineStr">
        <is>
          <t>Số liệu hiển thị</t>
        </is>
      </c>
    </row>
    <row r="4">
      <c r="A4" s="6" t="inlineStr">
        <is>
          <t>BC-01</t>
        </is>
      </c>
      <c r="B4" s="7" t="inlineStr">
        <is>
          <t>Bảng điều khiển – tài khoản của Sở</t>
        </is>
      </c>
      <c r="C4" s="7" t="inlineStr">
        <is>
          <t>Toàn thành phố</t>
        </is>
      </c>
      <c r="D4" s="7" t="inlineStr">
        <is>
          <t>Năm học</t>
        </is>
      </c>
      <c r="E4" s="7" t="inlineStr">
        <is>
          <t>Tổng số thiết bị và nguyên giá; tỷ lệ trường đạt định mức tối thiểu; số đề xuất chờ Sở duyệt; kế hoạch mua sắm năm hiện tại; tiến độ đợt kiểm kê đang mở; danh sách trường cần chú ý</t>
        </is>
      </c>
    </row>
    <row r="5">
      <c r="A5" s="6" t="inlineStr">
        <is>
          <t>BC-01</t>
        </is>
      </c>
      <c r="B5" s="7" t="inlineStr">
        <is>
          <t>Bảng điều khiển – tài khoản của trường</t>
        </is>
      </c>
      <c r="C5" s="7" t="inlineStr">
        <is>
          <t>Trường mình</t>
        </is>
      </c>
      <c r="D5" s="7" t="inlineStr">
        <is>
          <t>Năm học</t>
        </is>
      </c>
      <c r="E5" s="7" t="inlineStr">
        <is>
          <t>Số thiết bị theo trạng thái và số thiết bị hỏng; mức đáp ứng định mức của trường; phiếu chờ mình xử lý; đợt kiểm kê đang mở và hạn nộp</t>
        </is>
      </c>
    </row>
    <row r="6">
      <c r="A6" s="6" t="inlineStr">
        <is>
          <t>BC-02</t>
        </is>
      </c>
      <c r="B6" s="7" t="inlineStr">
        <is>
          <t>Báo cáo tài sản thiết bị</t>
        </is>
      </c>
      <c r="C6" s="7" t="inlineStr">
        <is>
          <t>Sở: toàn thành phố; trường: trường mình</t>
        </is>
      </c>
      <c r="D6" s="7" t="inlineStr">
        <is>
          <t>Thời điểm, trường, môn học, loại thiết bị, trạng thái, nguồn hình thành</t>
        </is>
      </c>
      <c r="E6" s="7" t="inlineStr">
        <is>
          <t>Số lượng, nguyên giá; số đang dùng, trong kho, hỏng, báo mất; số ghi tăng trong kỳ</t>
        </is>
      </c>
    </row>
    <row r="7">
      <c r="A7" s="6" t="inlineStr">
        <is>
          <t>BC-03</t>
        </is>
      </c>
      <c r="B7" s="7" t="inlineStr">
        <is>
          <t>Báo cáo mức đáp ứng danh mục thiết bị tối thiểu</t>
        </is>
      </c>
      <c r="C7" s="7" t="inlineStr">
        <is>
          <t>Sở: toàn thành phố; trường: trường mình</t>
        </is>
      </c>
      <c r="D7" s="7" t="inlineStr">
        <is>
          <t>Bộ danh mục, môn học, khối lớp, trường</t>
        </is>
      </c>
      <c r="E7" s="7" t="inlineStr">
        <is>
          <t>Định mức, số hiện có, số thiếu, số thừa, tỷ lệ đáp ứng (%)</t>
        </is>
      </c>
    </row>
    <row r="8">
      <c r="A8" s="6" t="inlineStr">
        <is>
          <t>BC-04</t>
        </is>
      </c>
      <c r="B8" s="7" t="inlineStr">
        <is>
          <t>Báo cáo nhu cầu và kế hoạch mua sắm</t>
        </is>
      </c>
      <c r="C8" s="7" t="inlineStr">
        <is>
          <t>Sở: toàn thành phố; trường: trường mình</t>
        </is>
      </c>
      <c r="D8" s="7" t="inlineStr">
        <is>
          <t>Năm ngân sách, trường, thiết bị, trạng thái duyệt</t>
        </is>
      </c>
      <c r="E8" s="7" t="inlineStr">
        <is>
          <t>Số đề xuất theo trạng thái; số lượng và dự toán; số đã vào kế hoạch; số đã nhập về</t>
        </is>
      </c>
    </row>
    <row r="9">
      <c r="A9" s="6" t="inlineStr">
        <is>
          <t>BC-05</t>
        </is>
      </c>
      <c r="B9" s="7" t="inlineStr">
        <is>
          <t>Báo cáo kết quả kiểm kê</t>
        </is>
      </c>
      <c r="C9" s="7" t="inlineStr">
        <is>
          <t>Sở: toàn thành phố; trường: trường mình</t>
        </is>
      </c>
      <c r="D9" s="7" t="inlineStr">
        <is>
          <t>Đợt kiểm kê, trường</t>
        </is>
      </c>
      <c r="E9" s="7" t="inlineStr">
        <is>
          <t>Số thiết bị theo sổ; số khớp, thiếu, thừa, hỏng, sai vị trí; giá trị chênh lệch</t>
        </is>
      </c>
    </row>
    <row r="10">
      <c r="A10" s="6" t="inlineStr">
        <is>
          <t>BC-06</t>
        </is>
      </c>
      <c r="B10" s="7" t="inlineStr">
        <is>
          <t>Xuất dữ liệu</t>
        </is>
      </c>
      <c r="C10" s="7" t="inlineStr">
        <is>
          <t>Theo phạm vi dữ liệu của người dùng</t>
        </is>
      </c>
      <c r="D10" s="7" t="inlineStr">
        <is>
          <t>Như danh sách hoặc báo cáo đang xem</t>
        </is>
      </c>
      <c r="E10" s="7" t="inlineStr">
        <is>
          <t>Xuất danh sách và các báo cáo BC-02 – BC-05 ra CSV hoặc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2026-10-27T03:10:10Z</dcterms:created>
  <dcterms:modified xmlns:dcterms="http://purl.org/dc/terms/" xmlns:xsi="http://www.w3.org/2001/XMLSchema-instance" xsi:type="dcterms:W3CDTF">2026-10-27T06:25:04Z</dcterms:modified>
</cp:coreProperties>
</file>